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61899db191d5d9/Documents/"/>
    </mc:Choice>
  </mc:AlternateContent>
  <xr:revisionPtr revIDLastSave="96" documentId="8_{958F4153-7658-4599-97B3-4AAA1E57C0C5}" xr6:coauthVersionLast="47" xr6:coauthVersionMax="47" xr10:uidLastSave="{B8CEE998-F66E-4D68-A129-D4C99F5D698D}"/>
  <bookViews>
    <workbookView xWindow="-120" yWindow="-120" windowWidth="20730" windowHeight="11040" xr2:uid="{1E0DE71F-32F1-4F50-9ABC-81F985BD8456}"/>
  </bookViews>
  <sheets>
    <sheet name="Solution case2" sheetId="1" r:id="rId1"/>
    <sheet name="Solution case1" sheetId="7" r:id="rId2"/>
    <sheet name="Question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7" l="1"/>
  <c r="I24" i="7"/>
  <c r="B21" i="7"/>
  <c r="B13" i="7"/>
  <c r="B10" i="7"/>
  <c r="M20" i="7"/>
  <c r="M11" i="7"/>
  <c r="M6" i="7"/>
  <c r="B6" i="7"/>
  <c r="M5" i="7"/>
  <c r="Q4" i="1"/>
  <c r="Q20" i="1"/>
  <c r="Q11" i="1"/>
  <c r="B3" i="1"/>
  <c r="B13" i="1"/>
  <c r="Q5" i="1" s="1"/>
  <c r="B5" i="1"/>
  <c r="B8" i="1" s="1"/>
  <c r="B11" i="1" s="1"/>
  <c r="M5" i="1"/>
  <c r="B12" i="1"/>
  <c r="Q6" i="1" s="1"/>
  <c r="B22" i="7" l="1"/>
  <c r="B23" i="7" s="1"/>
  <c r="B15" i="1"/>
  <c r="B16" i="1" s="1"/>
  <c r="B17" i="1" s="1"/>
  <c r="Q3" i="1" s="1"/>
  <c r="Q7" i="1" s="1"/>
  <c r="Q23" i="1" s="1"/>
  <c r="J6" i="1" s="1"/>
  <c r="I12" i="7" l="1"/>
  <c r="M3" i="7"/>
  <c r="M7" i="7" s="1"/>
  <c r="M23" i="7" s="1"/>
  <c r="F5" i="7" s="1"/>
  <c r="F24" i="7" s="1"/>
  <c r="M8" i="1"/>
  <c r="M20" i="1" s="1"/>
  <c r="J20" i="1"/>
  <c r="F27" i="7" l="1"/>
  <c r="G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8CD4B-4B68-4964-B30F-7E723A268B17}" keepAlive="1" name="Query - Case_FSA_A1xlsx___Sheet1pdf_lyst1714370362273 (4) pdf" description="Connection to the 'Case_FSA_A1xlsx___Sheet1pdf_lyst1714370362273 (4) pdf' query in the workbook." type="5" refreshedVersion="0" background="1" saveData="1">
    <dbPr connection="Provider=Microsoft.Mashup.OleDb.1;Data Source=$Workbook$;Location=&quot;Case_FSA_A1xlsx___Sheet1pdf_lyst1714370362273 (4) pdf&quot;;Extended Properties=&quot;&quot;" command="SELECT * FROM [Case_FSA_A1xlsx___Sheet1pdf_lyst1714370362273 (4) pdf]"/>
  </connection>
</connections>
</file>

<file path=xl/sharedStrings.xml><?xml version="1.0" encoding="utf-8"?>
<sst xmlns="http://schemas.openxmlformats.org/spreadsheetml/2006/main" count="84" uniqueCount="55">
  <si>
    <t>Income statement</t>
  </si>
  <si>
    <t xml:space="preserve">Revenue </t>
  </si>
  <si>
    <t xml:space="preserve">Cogs </t>
  </si>
  <si>
    <t xml:space="preserve">Gross profit </t>
  </si>
  <si>
    <t xml:space="preserve">Balance sheet </t>
  </si>
  <si>
    <t xml:space="preserve">Asset side </t>
  </si>
  <si>
    <t xml:space="preserve">Liabilties side </t>
  </si>
  <si>
    <t>Bus</t>
  </si>
  <si>
    <t>Equity</t>
  </si>
  <si>
    <t>Debt</t>
  </si>
  <si>
    <t>Check</t>
  </si>
  <si>
    <t>Total</t>
  </si>
  <si>
    <t>Cash</t>
  </si>
  <si>
    <t>Working capital loan</t>
  </si>
  <si>
    <t>less: Depreciaiton</t>
  </si>
  <si>
    <t>EBITDA</t>
  </si>
  <si>
    <t>EBIT</t>
  </si>
  <si>
    <t xml:space="preserve">Interest on wc </t>
  </si>
  <si>
    <t>Interest on debt</t>
  </si>
  <si>
    <t>op exp</t>
  </si>
  <si>
    <t>EBT</t>
  </si>
  <si>
    <t>Tax</t>
  </si>
  <si>
    <t>PAT</t>
  </si>
  <si>
    <t>accumulated depn</t>
  </si>
  <si>
    <t>Retained earnings</t>
  </si>
  <si>
    <t>Cash Flow Statements</t>
  </si>
  <si>
    <t xml:space="preserve">Net income </t>
  </si>
  <si>
    <t xml:space="preserve">add: depreciation </t>
  </si>
  <si>
    <t>add:interest</t>
  </si>
  <si>
    <t>add:interest on working capital</t>
  </si>
  <si>
    <t>Casflow from operating activity</t>
  </si>
  <si>
    <t>Cashflow from investing activity</t>
  </si>
  <si>
    <t>interest on debt</t>
  </si>
  <si>
    <t xml:space="preserve">interst on working capital </t>
  </si>
  <si>
    <t xml:space="preserve">Principal repayment </t>
  </si>
  <si>
    <t>Cashflow from financing activity</t>
  </si>
  <si>
    <t>Total of all 3</t>
  </si>
  <si>
    <t xml:space="preserve">FSA HW </t>
  </si>
  <si>
    <t xml:space="preserve">Income statement </t>
  </si>
  <si>
    <t xml:space="preserve">Debt </t>
  </si>
  <si>
    <t xml:space="preserve">Repayment </t>
  </si>
  <si>
    <t xml:space="preserve">Cash </t>
  </si>
  <si>
    <t xml:space="preserve">Working capital loan </t>
  </si>
  <si>
    <t xml:space="preserve">Sales </t>
  </si>
  <si>
    <t xml:space="preserve">Bus </t>
  </si>
  <si>
    <t xml:space="preserve">COGS </t>
  </si>
  <si>
    <t xml:space="preserve">Accumulated depreciation </t>
  </si>
  <si>
    <t xml:space="preserve">op ex </t>
  </si>
  <si>
    <t xml:space="preserve">Equity capital </t>
  </si>
  <si>
    <t xml:space="preserve">Retained earnings </t>
  </si>
  <si>
    <t xml:space="preserve">Depreciation </t>
  </si>
  <si>
    <t xml:space="preserve">Interest on working capital loan </t>
  </si>
  <si>
    <t xml:space="preserve">tax </t>
  </si>
  <si>
    <t xml:space="preserve">Check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</si>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</sst>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0" fillId="3" borderId="0" xfId="0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1" fillId="3" borderId="0" xfId="0" applyFont="1" applyFill="1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333375</xdr:colOff>
      <xdr:row>29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0F18B-8191-2DE9-78BF-2444C2D1F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038975" cy="5181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4535-D4C9-4FAD-BF17-B719038F9B66}">
  <dimension ref="A1:Q24"/>
  <sheetViews>
    <sheetView tabSelected="1" topLeftCell="A10" workbookViewId="0">
      <selection activeCell="C22" sqref="C22"/>
    </sheetView>
  </sheetViews>
  <sheetFormatPr defaultRowHeight="15" x14ac:dyDescent="0.25"/>
  <cols>
    <col min="1" max="1" width="17.42578125" customWidth="1"/>
    <col min="7" max="7" width="10.7109375" customWidth="1"/>
    <col min="8" max="8" width="18.140625" customWidth="1"/>
    <col min="11" max="11" width="24" customWidth="1"/>
    <col min="16" max="16" width="30.7109375" customWidth="1"/>
    <col min="17" max="17" width="16.140625" customWidth="1"/>
  </cols>
  <sheetData>
    <row r="1" spans="1:17" x14ac:dyDescent="0.25">
      <c r="A1" s="8" t="s">
        <v>0</v>
      </c>
      <c r="B1" s="8"/>
      <c r="C1" s="8"/>
      <c r="P1" s="2"/>
      <c r="Q1" s="2"/>
    </row>
    <row r="2" spans="1:17" x14ac:dyDescent="0.25">
      <c r="H2" s="2"/>
      <c r="I2" s="2" t="s">
        <v>4</v>
      </c>
      <c r="J2" s="2"/>
      <c r="K2" s="2"/>
      <c r="L2" s="2"/>
      <c r="M2" s="3"/>
      <c r="P2" s="2" t="s">
        <v>25</v>
      </c>
      <c r="Q2" s="2"/>
    </row>
    <row r="3" spans="1:17" x14ac:dyDescent="0.25">
      <c r="A3" t="s">
        <v>1</v>
      </c>
      <c r="B3">
        <f>600*20000</f>
        <v>12000000</v>
      </c>
      <c r="H3" s="2" t="s">
        <v>5</v>
      </c>
      <c r="I3" s="2"/>
      <c r="J3" s="2"/>
      <c r="K3" s="2" t="s">
        <v>6</v>
      </c>
      <c r="L3" s="2"/>
      <c r="M3" s="3"/>
      <c r="P3" t="s">
        <v>26</v>
      </c>
      <c r="Q3">
        <f>B17</f>
        <v>-3675000</v>
      </c>
    </row>
    <row r="4" spans="1:17" x14ac:dyDescent="0.25">
      <c r="A4" t="s">
        <v>2</v>
      </c>
      <c r="B4">
        <v>8000000</v>
      </c>
      <c r="H4" t="s">
        <v>7</v>
      </c>
      <c r="J4">
        <v>10000000</v>
      </c>
      <c r="K4" t="s">
        <v>8</v>
      </c>
      <c r="M4">
        <v>4000000</v>
      </c>
      <c r="P4" t="s">
        <v>27</v>
      </c>
      <c r="Q4">
        <f>B10</f>
        <v>2000000</v>
      </c>
    </row>
    <row r="5" spans="1:17" x14ac:dyDescent="0.25">
      <c r="A5" t="s">
        <v>3</v>
      </c>
      <c r="B5">
        <f>B3-B4</f>
        <v>4000000</v>
      </c>
      <c r="H5" t="s">
        <v>23</v>
      </c>
      <c r="J5">
        <v>-2000000</v>
      </c>
      <c r="K5" t="s">
        <v>9</v>
      </c>
      <c r="M5">
        <f>6000000-1200000</f>
        <v>4800000</v>
      </c>
      <c r="P5" t="s">
        <v>28</v>
      </c>
      <c r="Q5">
        <f>B13</f>
        <v>600000</v>
      </c>
    </row>
    <row r="6" spans="1:17" x14ac:dyDescent="0.25">
      <c r="A6" t="s">
        <v>19</v>
      </c>
      <c r="B6">
        <v>5000000</v>
      </c>
      <c r="H6" t="s">
        <v>12</v>
      </c>
      <c r="J6">
        <f>Q23</f>
        <v>-2375000</v>
      </c>
      <c r="K6" t="s">
        <v>13</v>
      </c>
      <c r="M6">
        <v>500000</v>
      </c>
      <c r="P6" t="s">
        <v>29</v>
      </c>
      <c r="Q6">
        <f>B12</f>
        <v>75000</v>
      </c>
    </row>
    <row r="7" spans="1:17" x14ac:dyDescent="0.25">
      <c r="P7" t="s">
        <v>30</v>
      </c>
      <c r="Q7">
        <f>SUM(Q3:Q6)</f>
        <v>-1000000</v>
      </c>
    </row>
    <row r="8" spans="1:17" x14ac:dyDescent="0.25">
      <c r="A8" t="s">
        <v>15</v>
      </c>
      <c r="B8">
        <f>B5-B6</f>
        <v>-1000000</v>
      </c>
      <c r="K8" t="s">
        <v>24</v>
      </c>
      <c r="M8">
        <f>B17</f>
        <v>-3675000</v>
      </c>
    </row>
    <row r="10" spans="1:17" x14ac:dyDescent="0.25">
      <c r="A10" t="s">
        <v>14</v>
      </c>
      <c r="B10">
        <v>2000000</v>
      </c>
      <c r="P10" t="s">
        <v>7</v>
      </c>
      <c r="Q10">
        <v>-10000000</v>
      </c>
    </row>
    <row r="11" spans="1:17" x14ac:dyDescent="0.25">
      <c r="A11" t="s">
        <v>16</v>
      </c>
      <c r="B11">
        <f>B8-B10</f>
        <v>-3000000</v>
      </c>
      <c r="P11" t="s">
        <v>31</v>
      </c>
      <c r="Q11">
        <f>SUM(Q10)</f>
        <v>-10000000</v>
      </c>
    </row>
    <row r="12" spans="1:17" x14ac:dyDescent="0.25">
      <c r="A12" t="s">
        <v>17</v>
      </c>
      <c r="B12">
        <f>M6*15%</f>
        <v>75000</v>
      </c>
    </row>
    <row r="13" spans="1:17" x14ac:dyDescent="0.25">
      <c r="A13" t="s">
        <v>18</v>
      </c>
      <c r="B13">
        <f>6000000*10%</f>
        <v>600000</v>
      </c>
    </row>
    <row r="14" spans="1:17" x14ac:dyDescent="0.25">
      <c r="P14" t="s">
        <v>8</v>
      </c>
      <c r="Q14">
        <v>4000000</v>
      </c>
    </row>
    <row r="15" spans="1:17" x14ac:dyDescent="0.25">
      <c r="A15" t="s">
        <v>20</v>
      </c>
      <c r="B15">
        <f>B11-B12-B13</f>
        <v>-3675000</v>
      </c>
      <c r="P15" t="s">
        <v>9</v>
      </c>
      <c r="Q15">
        <v>6000000</v>
      </c>
    </row>
    <row r="16" spans="1:17" x14ac:dyDescent="0.25">
      <c r="A16" t="s">
        <v>21</v>
      </c>
      <c r="B16">
        <f>IF(B15&gt;0,B15*25%,0)</f>
        <v>0</v>
      </c>
      <c r="P16" t="s">
        <v>13</v>
      </c>
      <c r="Q16">
        <v>500000</v>
      </c>
    </row>
    <row r="17" spans="1:17" x14ac:dyDescent="0.25">
      <c r="A17" s="7" t="s">
        <v>22</v>
      </c>
      <c r="B17" s="7">
        <f>B15-B16</f>
        <v>-3675000</v>
      </c>
      <c r="P17" t="s">
        <v>32</v>
      </c>
      <c r="Q17">
        <v>-600000</v>
      </c>
    </row>
    <row r="18" spans="1:17" x14ac:dyDescent="0.25">
      <c r="P18" t="s">
        <v>33</v>
      </c>
      <c r="Q18">
        <v>-75000</v>
      </c>
    </row>
    <row r="19" spans="1:17" x14ac:dyDescent="0.25">
      <c r="P19" t="s">
        <v>34</v>
      </c>
      <c r="Q19">
        <v>-1200000</v>
      </c>
    </row>
    <row r="20" spans="1:17" x14ac:dyDescent="0.25">
      <c r="H20" s="7" t="s">
        <v>11</v>
      </c>
      <c r="I20" s="7"/>
      <c r="J20" s="7">
        <f>SUM(J4:J19)</f>
        <v>5625000</v>
      </c>
      <c r="K20" s="7" t="s">
        <v>11</v>
      </c>
      <c r="L20" s="7"/>
      <c r="M20" s="7">
        <f>SUM(M4:M19)</f>
        <v>5625000</v>
      </c>
      <c r="P20" t="s">
        <v>35</v>
      </c>
      <c r="Q20">
        <f>SUM(Q14:Q19)</f>
        <v>8625000</v>
      </c>
    </row>
    <row r="23" spans="1:17" ht="15.75" thickBot="1" x14ac:dyDescent="0.3">
      <c r="P23" s="4" t="s">
        <v>36</v>
      </c>
      <c r="Q23" s="6">
        <f>SUM(Q7,Q11,Q20)</f>
        <v>-2375000</v>
      </c>
    </row>
    <row r="24" spans="1:17" ht="15.75" thickTop="1" x14ac:dyDescent="0.25">
      <c r="F24" t="s">
        <v>10</v>
      </c>
      <c r="G24" s="7">
        <f>J20-M20</f>
        <v>0</v>
      </c>
    </row>
  </sheetData>
  <mergeCells count="1">
    <mergeCell ref="A1:C1"/>
  </mergeCells>
  <pageMargins left="0.7" right="0.7" top="0.75" bottom="0.75" header="0.3" footer="0.3"/>
  <ignoredErrors>
    <ignoredError sqref="Q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0D53-F7E3-4873-B72A-29D668DBDC4A}">
  <dimension ref="A1:M28"/>
  <sheetViews>
    <sheetView topLeftCell="A13" workbookViewId="0">
      <selection activeCell="H29" sqref="H29"/>
    </sheetView>
  </sheetViews>
  <sheetFormatPr defaultRowHeight="15" x14ac:dyDescent="0.25"/>
  <cols>
    <col min="1" max="1" width="23" customWidth="1"/>
    <col min="2" max="2" width="11.42578125" customWidth="1"/>
    <col min="5" max="5" width="16.42578125" customWidth="1"/>
    <col min="6" max="6" width="9.85546875" customWidth="1"/>
    <col min="8" max="8" width="19.85546875" customWidth="1"/>
    <col min="9" max="9" width="12.85546875" customWidth="1"/>
    <col min="12" max="12" width="25.140625" customWidth="1"/>
    <col min="13" max="13" width="14.28515625" customWidth="1"/>
  </cols>
  <sheetData>
    <row r="1" spans="1:13" x14ac:dyDescent="0.25">
      <c r="A1" s="2" t="s">
        <v>37</v>
      </c>
      <c r="B1" s="2"/>
      <c r="C1" s="2"/>
      <c r="D1" s="2"/>
      <c r="E1" s="2"/>
      <c r="F1" s="2" t="s">
        <v>4</v>
      </c>
      <c r="G1" s="2"/>
      <c r="H1" s="2"/>
      <c r="I1" s="2"/>
      <c r="J1" s="2"/>
      <c r="K1" s="2"/>
      <c r="L1" s="2"/>
      <c r="M1" s="2"/>
    </row>
    <row r="2" spans="1:13" x14ac:dyDescent="0.25">
      <c r="A2" s="9" t="s">
        <v>38</v>
      </c>
      <c r="B2" s="9"/>
      <c r="C2" s="2"/>
      <c r="D2" s="2"/>
      <c r="E2" s="2" t="s">
        <v>5</v>
      </c>
      <c r="F2" s="2"/>
      <c r="G2" s="2"/>
      <c r="H2" s="2" t="s">
        <v>6</v>
      </c>
      <c r="I2" s="2"/>
      <c r="J2" s="2"/>
      <c r="K2" s="2"/>
      <c r="L2" s="2" t="s">
        <v>25</v>
      </c>
      <c r="M2" s="2"/>
    </row>
    <row r="3" spans="1:13" x14ac:dyDescent="0.25">
      <c r="A3" s="10"/>
      <c r="B3" s="10"/>
      <c r="H3" t="s">
        <v>39</v>
      </c>
      <c r="I3">
        <v>6000000</v>
      </c>
      <c r="L3" t="s">
        <v>26</v>
      </c>
      <c r="M3">
        <f>B23</f>
        <v>3243750</v>
      </c>
    </row>
    <row r="4" spans="1:13" x14ac:dyDescent="0.25">
      <c r="A4" s="1"/>
      <c r="B4" s="1"/>
      <c r="H4" t="s">
        <v>40</v>
      </c>
      <c r="I4">
        <v>-1200000</v>
      </c>
      <c r="L4" t="s">
        <v>27</v>
      </c>
      <c r="M4">
        <f>-B11</f>
        <v>2000000</v>
      </c>
    </row>
    <row r="5" spans="1:13" x14ac:dyDescent="0.25">
      <c r="E5" t="s">
        <v>41</v>
      </c>
      <c r="F5">
        <f>M23</f>
        <v>4543750</v>
      </c>
      <c r="H5" t="s">
        <v>42</v>
      </c>
      <c r="I5">
        <v>500000</v>
      </c>
      <c r="L5" t="s">
        <v>28</v>
      </c>
      <c r="M5">
        <f>-B15</f>
        <v>600000</v>
      </c>
    </row>
    <row r="6" spans="1:13" x14ac:dyDescent="0.25">
      <c r="A6" t="s">
        <v>43</v>
      </c>
      <c r="B6">
        <f>50000*400</f>
        <v>20000000</v>
      </c>
      <c r="E6" t="s">
        <v>44</v>
      </c>
      <c r="F6">
        <v>10000000</v>
      </c>
      <c r="L6" t="s">
        <v>29</v>
      </c>
      <c r="M6">
        <f>-B16</f>
        <v>75000</v>
      </c>
    </row>
    <row r="7" spans="1:13" ht="60" x14ac:dyDescent="0.25">
      <c r="A7" t="s">
        <v>45</v>
      </c>
      <c r="B7">
        <v>-8000000</v>
      </c>
      <c r="E7" s="5" t="s">
        <v>46</v>
      </c>
      <c r="F7">
        <v>-2000000</v>
      </c>
      <c r="L7" t="s">
        <v>30</v>
      </c>
      <c r="M7">
        <f>SUM(M3:M6)</f>
        <v>5918750</v>
      </c>
    </row>
    <row r="8" spans="1:13" x14ac:dyDescent="0.25">
      <c r="A8" t="s">
        <v>47</v>
      </c>
      <c r="B8">
        <v>-5000000</v>
      </c>
    </row>
    <row r="10" spans="1:13" x14ac:dyDescent="0.25">
      <c r="A10" t="s">
        <v>15</v>
      </c>
      <c r="B10">
        <f>SUM(B6:B8)</f>
        <v>7000000</v>
      </c>
      <c r="L10" t="s">
        <v>7</v>
      </c>
      <c r="M10">
        <v>-10000000</v>
      </c>
    </row>
    <row r="11" spans="1:13" x14ac:dyDescent="0.25">
      <c r="A11" t="s">
        <v>50</v>
      </c>
      <c r="B11">
        <v>-2000000</v>
      </c>
      <c r="H11" t="s">
        <v>48</v>
      </c>
      <c r="I11">
        <v>4000000</v>
      </c>
      <c r="L11" t="s">
        <v>31</v>
      </c>
      <c r="M11">
        <f>SUM(M10)</f>
        <v>-10000000</v>
      </c>
    </row>
    <row r="12" spans="1:13" x14ac:dyDescent="0.25">
      <c r="H12" t="s">
        <v>49</v>
      </c>
      <c r="I12">
        <f>B23</f>
        <v>3243750</v>
      </c>
    </row>
    <row r="13" spans="1:13" x14ac:dyDescent="0.25">
      <c r="A13" t="s">
        <v>16</v>
      </c>
      <c r="B13">
        <f>B10+B11</f>
        <v>5000000</v>
      </c>
    </row>
    <row r="14" spans="1:13" x14ac:dyDescent="0.25">
      <c r="L14" t="s">
        <v>8</v>
      </c>
      <c r="M14">
        <v>4000000</v>
      </c>
    </row>
    <row r="15" spans="1:13" x14ac:dyDescent="0.25">
      <c r="A15" t="s">
        <v>18</v>
      </c>
      <c r="B15">
        <v>-600000</v>
      </c>
      <c r="L15" t="s">
        <v>9</v>
      </c>
      <c r="M15">
        <v>6000000</v>
      </c>
    </row>
    <row r="16" spans="1:13" ht="30" x14ac:dyDescent="0.25">
      <c r="A16" s="5" t="s">
        <v>51</v>
      </c>
      <c r="B16">
        <v>-75000</v>
      </c>
      <c r="L16" t="s">
        <v>13</v>
      </c>
      <c r="M16">
        <v>500000</v>
      </c>
    </row>
    <row r="17" spans="1:13" x14ac:dyDescent="0.25">
      <c r="L17" t="s">
        <v>32</v>
      </c>
      <c r="M17">
        <v>-600000</v>
      </c>
    </row>
    <row r="18" spans="1:13" x14ac:dyDescent="0.25">
      <c r="L18" t="s">
        <v>33</v>
      </c>
      <c r="M18">
        <v>-75000</v>
      </c>
    </row>
    <row r="19" spans="1:13" x14ac:dyDescent="0.25">
      <c r="L19" t="s">
        <v>34</v>
      </c>
      <c r="M19">
        <v>-1200000</v>
      </c>
    </row>
    <row r="20" spans="1:13" x14ac:dyDescent="0.25">
      <c r="L20" t="s">
        <v>35</v>
      </c>
      <c r="M20">
        <f>SUM(M14:M19)</f>
        <v>8625000</v>
      </c>
    </row>
    <row r="21" spans="1:13" x14ac:dyDescent="0.25">
      <c r="A21" t="s">
        <v>20</v>
      </c>
      <c r="B21">
        <f>B13+B15+B16</f>
        <v>4325000</v>
      </c>
    </row>
    <row r="22" spans="1:13" x14ac:dyDescent="0.25">
      <c r="A22" t="s">
        <v>52</v>
      </c>
      <c r="B22">
        <f>-B21*25%</f>
        <v>-1081250</v>
      </c>
    </row>
    <row r="23" spans="1:13" ht="15.75" thickBot="1" x14ac:dyDescent="0.3">
      <c r="A23" s="4" t="s">
        <v>26</v>
      </c>
      <c r="B23" s="4">
        <f>SUM(B21,B22)</f>
        <v>3243750</v>
      </c>
      <c r="L23" s="4" t="s">
        <v>36</v>
      </c>
      <c r="M23" s="4">
        <f>SUM(M7,M11,M20)</f>
        <v>4543750</v>
      </c>
    </row>
    <row r="24" spans="1:13" ht="16.5" thickTop="1" thickBot="1" x14ac:dyDescent="0.3">
      <c r="E24" s="4"/>
      <c r="F24" s="4">
        <f>SUM(F5:F23)</f>
        <v>12543750</v>
      </c>
      <c r="G24" s="4"/>
      <c r="H24" s="4"/>
      <c r="I24" s="4">
        <f>SUM(I3:I23)</f>
        <v>12543750</v>
      </c>
    </row>
    <row r="25" spans="1:13" ht="15.75" thickTop="1" x14ac:dyDescent="0.25"/>
    <row r="27" spans="1:13" x14ac:dyDescent="0.25">
      <c r="E27" t="s">
        <v>53</v>
      </c>
      <c r="F27">
        <f>F24-I24</f>
        <v>0</v>
      </c>
    </row>
    <row r="28" spans="1:13" x14ac:dyDescent="0.25">
      <c r="L28" t="s">
        <v>54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A25E-9C59-4014-98C1-DA31C0795BE8}">
  <dimension ref="A1"/>
  <sheetViews>
    <sheetView topLeftCell="A7" workbookViewId="0">
      <selection activeCell="N6" sqref="N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4C129-A8AF-4066-BE37-B6A3C375E7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case2</vt:lpstr>
      <vt:lpstr>Solution case1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Priyal gor</dc:creator>
  <cp:lastModifiedBy>Priyal gor</cp:lastModifiedBy>
  <dcterms:created xsi:type="dcterms:W3CDTF">2026-05-25T11:05:46Z</dcterms:created>
  <dcterms:modified xsi:type="dcterms:W3CDTF">2026-06-10T10:54:19Z</dcterms:modified>
</cp:coreProperties>
</file>